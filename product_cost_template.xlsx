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Cost Calculator" sheetId="1" state="visible" r:id="rId1"/>
    <sheet name="Overhead Breakdown" sheetId="2" state="visible" r:id="rId2"/>
    <sheet name="Instructions" sheetId="3" state="visible" r:id="rId3"/>
  </sheets>
  <definedNames>
    <definedName name="_xlnm.Print_Area" localSheetId="0">'Product Cost Calculator'!$A$1:$G$64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808080"/>
      <sz val="10"/>
    </font>
    <font>
      <name val="Calibri"/>
      <b val="1"/>
      <color rgb="00FFFFFF"/>
      <sz val="11"/>
    </font>
    <font>
      <name val="Calibri"/>
      <color rgb="00404040"/>
      <sz val="11"/>
    </font>
    <font>
      <name val="Calibri"/>
      <color rgb="001F4E79"/>
      <sz val="11"/>
    </font>
    <font>
      <name val="Calibri"/>
      <b val="1"/>
      <color rgb="001F4E79"/>
      <sz val="11"/>
    </font>
    <font>
      <name val="Calibri"/>
      <b val="1"/>
      <color rgb="00FFFFFF"/>
      <sz val="12"/>
    </font>
    <font>
      <name val="Calibri"/>
      <b val="1"/>
      <color rgb="001F4E79"/>
      <sz val="12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548235"/>
      </patternFill>
    </fill>
    <fill>
      <patternFill patternType="solid">
        <fgColor rgb="00ED7D31"/>
      </patternFill>
    </fill>
    <fill>
      <patternFill patternType="solid">
        <fgColor rgb="001F4E79"/>
      </patternFill>
    </fill>
  </fills>
  <borders count="5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/>
      <right/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 style="thin">
        <color rgb="00B4B4B4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4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49" fontId="5" fillId="3" borderId="1" pivotButton="0" quotePrefix="0" xfId="0"/>
    <xf numFmtId="0" fontId="0" fillId="4" borderId="0" pivotButton="0" quotePrefix="0" xfId="0"/>
    <xf numFmtId="0" fontId="4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3" fontId="5" fillId="3" borderId="1" pivotButton="0" quotePrefix="0" xfId="0"/>
    <xf numFmtId="0" fontId="2" fillId="4" borderId="1" applyAlignment="1" pivotButton="0" quotePrefix="0" xfId="0">
      <alignment horizontal="left" vertical="center" indent="1"/>
    </xf>
    <xf numFmtId="4" fontId="5" fillId="3" borderId="1" pivotButton="0" quotePrefix="0" xfId="0"/>
    <xf numFmtId="0" fontId="2" fillId="0" borderId="1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left" vertical="center" indent="1"/>
    </xf>
    <xf numFmtId="0" fontId="0" fillId="5" borderId="1" pivotButton="0" quotePrefix="0" xfId="0"/>
    <xf numFmtId="4" fontId="3" fillId="5" borderId="1" pivotButton="0" quotePrefix="0" xfId="0"/>
    <xf numFmtId="4" fontId="6" fillId="0" borderId="1" pivotButton="0" quotePrefix="0" xfId="0"/>
    <xf numFmtId="0" fontId="3" fillId="6" borderId="1" applyAlignment="1" pivotButton="0" quotePrefix="0" xfId="0">
      <alignment horizontal="left" vertical="center" indent="1"/>
    </xf>
    <xf numFmtId="0" fontId="0" fillId="6" borderId="1" pivotButton="0" quotePrefix="0" xfId="0"/>
    <xf numFmtId="4" fontId="3" fillId="6" borderId="1" pivotButton="0" quotePrefix="0" xfId="0"/>
    <xf numFmtId="10" fontId="5" fillId="3" borderId="1" pivotButton="0" quotePrefix="0" xfId="0"/>
    <xf numFmtId="0" fontId="3" fillId="7" borderId="1" applyAlignment="1" pivotButton="0" quotePrefix="0" xfId="0">
      <alignment horizontal="left" vertical="center" indent="1"/>
    </xf>
    <xf numFmtId="0" fontId="0" fillId="7" borderId="1" pivotButton="0" quotePrefix="0" xfId="0"/>
    <xf numFmtId="4" fontId="3" fillId="7" borderId="1" pivotButton="0" quotePrefix="0" xfId="0"/>
    <xf numFmtId="0" fontId="1" fillId="0" borderId="0" applyAlignment="1" pivotButton="0" quotePrefix="0" xfId="0">
      <alignment horizontal="center"/>
    </xf>
    <xf numFmtId="0" fontId="7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indent="1"/>
    </xf>
    <xf numFmtId="4" fontId="0" fillId="0" borderId="1" pivotButton="0" quotePrefix="0" xfId="0"/>
    <xf numFmtId="0" fontId="0" fillId="3" borderId="1" pivotButton="0" quotePrefix="0" xfId="0"/>
    <xf numFmtId="0" fontId="4" fillId="4" borderId="1" applyAlignment="1" pivotButton="0" quotePrefix="0" xfId="0">
      <alignment indent="1"/>
    </xf>
    <xf numFmtId="0" fontId="3" fillId="6" borderId="1" applyAlignment="1" pivotButton="0" quotePrefix="0" xfId="0">
      <alignment indent="1"/>
    </xf>
    <xf numFmtId="0" fontId="3" fillId="6" borderId="1" pivotButton="0" quotePrefix="0" xfId="0"/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2:F6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20" customWidth="1" min="4" max="4"/>
    <col width="14" customWidth="1" min="5" max="5"/>
    <col width="14" customWidth="1" min="6" max="6"/>
    <col width="3" customWidth="1" min="7" max="7"/>
  </cols>
  <sheetData>
    <row r="2" ht="40" customHeight="1">
      <c r="B2" s="1" t="inlineStr">
        <is>
          <t>Product Cost Calculator</t>
        </is>
      </c>
    </row>
    <row r="3" ht="20" customHeight="1">
      <c r="B3" s="2" t="inlineStr">
        <is>
          <t>Enter values in the highlighted cells</t>
        </is>
      </c>
    </row>
    <row r="5" ht="28" customHeight="1">
      <c r="B5" s="3" t="inlineStr">
        <is>
          <t>PRODUCT INFORMATION</t>
        </is>
      </c>
      <c r="C5" s="4" t="n"/>
      <c r="D5" s="4" t="n"/>
      <c r="E5" s="4" t="n"/>
      <c r="F5" s="4" t="n"/>
    </row>
    <row r="6" ht="24" customHeight="1">
      <c r="B6" s="5" t="inlineStr">
        <is>
          <t>Product Name</t>
        </is>
      </c>
      <c r="C6" s="6" t="n"/>
      <c r="D6" s="7" t="n"/>
      <c r="E6" s="8" t="n"/>
      <c r="F6" s="8" t="n"/>
    </row>
    <row r="7" ht="24" customHeight="1">
      <c r="B7" s="9" t="inlineStr">
        <is>
          <t>SKU / Product Code</t>
        </is>
      </c>
      <c r="C7" s="10" t="n"/>
      <c r="D7" s="7" t="n"/>
    </row>
    <row r="8" ht="24" customHeight="1">
      <c r="B8" s="5" t="inlineStr">
        <is>
          <t>Units Produced</t>
        </is>
      </c>
      <c r="C8" s="6" t="n"/>
      <c r="D8" s="11" t="n"/>
      <c r="E8" s="12" t="inlineStr">
        <is>
          <t>per batch / period</t>
        </is>
      </c>
      <c r="F8" s="6" t="n"/>
    </row>
    <row r="10" ht="28" customHeight="1">
      <c r="B10" s="3" t="inlineStr">
        <is>
          <t>1. MATERIAL COSTS</t>
        </is>
      </c>
      <c r="C10" s="4" t="n"/>
      <c r="D10" s="4" t="n"/>
      <c r="E10" s="4" t="n"/>
      <c r="F10" s="4" t="n"/>
    </row>
    <row r="11" ht="24" customHeight="1">
      <c r="B11" s="9" t="inlineStr">
        <is>
          <t>Raw Material 1</t>
        </is>
      </c>
      <c r="C11" s="10" t="n"/>
      <c r="D11" s="13" t="n"/>
      <c r="E11" s="14" t="inlineStr">
        <is>
          <t>cost per unit</t>
        </is>
      </c>
      <c r="F11" s="10" t="n"/>
    </row>
    <row r="12" ht="24" customHeight="1">
      <c r="B12" s="5" t="inlineStr">
        <is>
          <t>Raw Material 2</t>
        </is>
      </c>
      <c r="C12" s="6" t="n"/>
      <c r="D12" s="13" t="n"/>
      <c r="E12" s="12" t="inlineStr">
        <is>
          <t>cost per unit</t>
        </is>
      </c>
      <c r="F12" s="6" t="n"/>
    </row>
    <row r="13" ht="24" customHeight="1">
      <c r="B13" s="9" t="inlineStr">
        <is>
          <t>Raw Material 3</t>
        </is>
      </c>
      <c r="C13" s="10" t="n"/>
      <c r="D13" s="13" t="n"/>
      <c r="E13" s="14" t="inlineStr">
        <is>
          <t>cost per unit</t>
        </is>
      </c>
      <c r="F13" s="10" t="n"/>
    </row>
    <row r="14" ht="24" customHeight="1">
      <c r="B14" s="5" t="inlineStr">
        <is>
          <t>Raw Material 4</t>
        </is>
      </c>
      <c r="C14" s="6" t="n"/>
      <c r="D14" s="13" t="n"/>
      <c r="E14" s="12" t="inlineStr">
        <is>
          <t>cost per unit</t>
        </is>
      </c>
      <c r="F14" s="6" t="n"/>
    </row>
    <row r="15" ht="24" customHeight="1">
      <c r="B15" s="9" t="inlineStr">
        <is>
          <t>Raw Material 5</t>
        </is>
      </c>
      <c r="C15" s="10" t="n"/>
      <c r="D15" s="13" t="n"/>
      <c r="E15" s="14" t="inlineStr">
        <is>
          <t>cost per unit</t>
        </is>
      </c>
      <c r="F15" s="10" t="n"/>
    </row>
    <row r="16" ht="24" customHeight="1">
      <c r="B16" s="5" t="inlineStr">
        <is>
          <t>Packaging</t>
        </is>
      </c>
      <c r="C16" s="6" t="n"/>
      <c r="D16" s="13" t="n"/>
      <c r="E16" s="12" t="inlineStr">
        <is>
          <t>cost per unit</t>
        </is>
      </c>
      <c r="F16" s="6" t="n"/>
    </row>
    <row r="17" ht="24" customHeight="1">
      <c r="B17" s="9" t="inlineStr">
        <is>
          <t>Shipping / Freight Inbound</t>
        </is>
      </c>
      <c r="C17" s="10" t="n"/>
      <c r="D17" s="13" t="n"/>
      <c r="E17" s="14" t="inlineStr">
        <is>
          <t>cost per unit</t>
        </is>
      </c>
      <c r="F17" s="10" t="n"/>
    </row>
    <row r="18" ht="30" customHeight="1">
      <c r="B18" s="15" t="inlineStr">
        <is>
          <t>Total Material Cost</t>
        </is>
      </c>
      <c r="C18" s="16" t="n"/>
      <c r="D18" s="17">
        <f>SUM(D11:D17)</f>
        <v/>
      </c>
      <c r="E18" s="16" t="n"/>
      <c r="F18" s="16" t="n"/>
    </row>
    <row r="20" ht="28" customHeight="1">
      <c r="B20" s="3" t="inlineStr">
        <is>
          <t>2. LABOUR COSTS</t>
        </is>
      </c>
      <c r="C20" s="4" t="n"/>
      <c r="D20" s="4" t="n"/>
      <c r="E20" s="4" t="n"/>
      <c r="F20" s="4" t="n"/>
    </row>
    <row r="21" ht="24" customHeight="1">
      <c r="B21" s="9" t="inlineStr">
        <is>
          <t>Direct Labour (Production)</t>
        </is>
      </c>
      <c r="C21" s="10" t="n"/>
      <c r="D21" s="13" t="n"/>
      <c r="E21" s="14" t="inlineStr">
        <is>
          <t>total cost</t>
        </is>
      </c>
      <c r="F21" s="10" t="n"/>
    </row>
    <row r="22" ht="24" customHeight="1">
      <c r="B22" s="5" t="inlineStr">
        <is>
          <t>Indirect Labour (Supervision)</t>
        </is>
      </c>
      <c r="C22" s="6" t="n"/>
      <c r="D22" s="13" t="n"/>
      <c r="E22" s="12" t="inlineStr">
        <is>
          <t>total cost</t>
        </is>
      </c>
      <c r="F22" s="6" t="n"/>
    </row>
    <row r="23" ht="24" customHeight="1">
      <c r="B23" s="9" t="inlineStr">
        <is>
          <t>Quality Control / Inspection</t>
        </is>
      </c>
      <c r="C23" s="10" t="n"/>
      <c r="D23" s="13" t="n"/>
      <c r="E23" s="14" t="inlineStr">
        <is>
          <t>total cost</t>
        </is>
      </c>
      <c r="F23" s="10" t="n"/>
    </row>
    <row r="24" ht="24" customHeight="1">
      <c r="B24" s="5" t="inlineStr">
        <is>
          <t>Overtime / Shift Premiums</t>
        </is>
      </c>
      <c r="C24" s="6" t="n"/>
      <c r="D24" s="13" t="n"/>
      <c r="E24" s="12" t="inlineStr">
        <is>
          <t>total cost</t>
        </is>
      </c>
      <c r="F24" s="6" t="n"/>
    </row>
    <row r="25" ht="24" customHeight="1">
      <c r="B25" s="9" t="inlineStr">
        <is>
          <t>Employee Benefits &amp; Insurance</t>
        </is>
      </c>
      <c r="C25" s="10" t="n"/>
      <c r="D25" s="13" t="n"/>
      <c r="E25" s="14" t="inlineStr">
        <is>
          <t>total cost</t>
        </is>
      </c>
      <c r="F25" s="10" t="n"/>
    </row>
    <row r="26" ht="30" customHeight="1">
      <c r="B26" s="15" t="inlineStr">
        <is>
          <t>Total Labour Cost</t>
        </is>
      </c>
      <c r="C26" s="16" t="n"/>
      <c r="D26" s="17">
        <f>SUM(D21:D25)</f>
        <v/>
      </c>
      <c r="E26" s="16" t="n"/>
      <c r="F26" s="16" t="n"/>
    </row>
    <row r="28" ht="28" customHeight="1">
      <c r="B28" s="3" t="inlineStr">
        <is>
          <t>3. OVERHEAD COSTS (Utilities &amp; Facility)</t>
        </is>
      </c>
      <c r="C28" s="4" t="n"/>
      <c r="D28" s="4" t="n"/>
      <c r="E28" s="4" t="n"/>
      <c r="F28" s="4" t="n"/>
    </row>
    <row r="29" ht="24" customHeight="1">
      <c r="B29" s="9" t="inlineStr">
        <is>
          <t>Electricity</t>
        </is>
      </c>
      <c r="C29" s="10" t="n"/>
      <c r="D29" s="13" t="n"/>
      <c r="E29" s="14" t="inlineStr">
        <is>
          <t>per period</t>
        </is>
      </c>
      <c r="F29" s="10" t="n"/>
    </row>
    <row r="30" ht="24" customHeight="1">
      <c r="B30" s="5" t="inlineStr">
        <is>
          <t>Gas</t>
        </is>
      </c>
      <c r="C30" s="6" t="n"/>
      <c r="D30" s="13" t="n"/>
      <c r="E30" s="12" t="inlineStr">
        <is>
          <t>per period</t>
        </is>
      </c>
      <c r="F30" s="6" t="n"/>
    </row>
    <row r="31" ht="24" customHeight="1">
      <c r="B31" s="9" t="inlineStr">
        <is>
          <t>Heating</t>
        </is>
      </c>
      <c r="C31" s="10" t="n"/>
      <c r="D31" s="13" t="n"/>
      <c r="E31" s="14" t="inlineStr">
        <is>
          <t>per period</t>
        </is>
      </c>
      <c r="F31" s="10" t="n"/>
    </row>
    <row r="32" ht="24" customHeight="1">
      <c r="B32" s="5" t="inlineStr">
        <is>
          <t>Water</t>
        </is>
      </c>
      <c r="C32" s="6" t="n"/>
      <c r="D32" s="13" t="n"/>
      <c r="E32" s="12" t="inlineStr">
        <is>
          <t>per period</t>
        </is>
      </c>
      <c r="F32" s="6" t="n"/>
    </row>
    <row r="33" ht="24" customHeight="1">
      <c r="B33" s="9" t="inlineStr">
        <is>
          <t>Waste Disposal</t>
        </is>
      </c>
      <c r="C33" s="10" t="n"/>
      <c r="D33" s="13" t="n"/>
      <c r="E33" s="14" t="inlineStr">
        <is>
          <t>per period</t>
        </is>
      </c>
      <c r="F33" s="10" t="n"/>
    </row>
    <row r="34" ht="24" customHeight="1">
      <c r="B34" s="5" t="inlineStr">
        <is>
          <t>Facility Rent / Lease</t>
        </is>
      </c>
      <c r="C34" s="6" t="n"/>
      <c r="D34" s="13" t="n"/>
      <c r="E34" s="12" t="inlineStr">
        <is>
          <t>per period</t>
        </is>
      </c>
      <c r="F34" s="6" t="n"/>
    </row>
    <row r="35" ht="24" customHeight="1">
      <c r="B35" s="9" t="inlineStr">
        <is>
          <t>Equipment Depreciation</t>
        </is>
      </c>
      <c r="C35" s="10" t="n"/>
      <c r="D35" s="13" t="n"/>
      <c r="E35" s="14" t="inlineStr">
        <is>
          <t>per period</t>
        </is>
      </c>
      <c r="F35" s="10" t="n"/>
    </row>
    <row r="36" ht="24" customHeight="1">
      <c r="B36" s="5" t="inlineStr">
        <is>
          <t>Maintenance &amp; Repairs</t>
        </is>
      </c>
      <c r="C36" s="6" t="n"/>
      <c r="D36" s="13" t="n"/>
      <c r="E36" s="12" t="inlineStr">
        <is>
          <t>per period</t>
        </is>
      </c>
      <c r="F36" s="6" t="n"/>
    </row>
    <row r="37" ht="24" customHeight="1">
      <c r="B37" s="9" t="inlineStr">
        <is>
          <t>Insurance (Property/Equip)</t>
        </is>
      </c>
      <c r="C37" s="10" t="n"/>
      <c r="D37" s="13" t="n"/>
      <c r="E37" s="14" t="inlineStr">
        <is>
          <t>per period</t>
        </is>
      </c>
      <c r="F37" s="10" t="n"/>
    </row>
    <row r="38" ht="24" customHeight="1">
      <c r="B38" s="5" t="inlineStr">
        <is>
          <t>Other Utilities</t>
        </is>
      </c>
      <c r="C38" s="6" t="n"/>
      <c r="D38" s="13" t="n"/>
      <c r="E38" s="12" t="inlineStr">
        <is>
          <t>per period</t>
        </is>
      </c>
      <c r="F38" s="6" t="n"/>
    </row>
    <row r="39" ht="30" customHeight="1">
      <c r="B39" s="15" t="inlineStr">
        <is>
          <t>Total Overhead Cost</t>
        </is>
      </c>
      <c r="C39" s="16" t="n"/>
      <c r="D39" s="17">
        <f>SUM(D29:D38)</f>
        <v/>
      </c>
      <c r="E39" s="16" t="n"/>
      <c r="F39" s="16" t="n"/>
    </row>
    <row r="41" ht="28" customHeight="1">
      <c r="B41" s="3" t="inlineStr">
        <is>
          <t>4. EXTRA FIXED COSTS</t>
        </is>
      </c>
      <c r="C41" s="4" t="n"/>
      <c r="D41" s="4" t="n"/>
      <c r="E41" s="4" t="n"/>
      <c r="F41" s="4" t="n"/>
    </row>
    <row r="42" ht="24" customHeight="1">
      <c r="B42" s="5" t="inlineStr">
        <is>
          <t>Licensing &amp; Permits</t>
        </is>
      </c>
      <c r="C42" s="6" t="n"/>
      <c r="D42" s="13" t="n"/>
      <c r="E42" s="12" t="inlineStr">
        <is>
          <t>per period</t>
        </is>
      </c>
      <c r="F42" s="6" t="n"/>
    </row>
    <row r="43" ht="24" customHeight="1">
      <c r="B43" s="9" t="inlineStr">
        <is>
          <t>Tooling &amp; Moulds</t>
        </is>
      </c>
      <c r="C43" s="10" t="n"/>
      <c r="D43" s="13" t="n"/>
      <c r="E43" s="14" t="inlineStr">
        <is>
          <t>per period</t>
        </is>
      </c>
      <c r="F43" s="10" t="n"/>
    </row>
    <row r="44" ht="24" customHeight="1">
      <c r="B44" s="5" t="inlineStr">
        <is>
          <t>R&amp;D / Design Costs</t>
        </is>
      </c>
      <c r="C44" s="6" t="n"/>
      <c r="D44" s="13" t="n"/>
      <c r="E44" s="12" t="inlineStr">
        <is>
          <t>per period</t>
        </is>
      </c>
      <c r="F44" s="6" t="n"/>
    </row>
    <row r="45" ht="24" customHeight="1">
      <c r="B45" s="9" t="inlineStr">
        <is>
          <t>Regulatory / Compliance</t>
        </is>
      </c>
      <c r="C45" s="10" t="n"/>
      <c r="D45" s="13" t="n"/>
      <c r="E45" s="14" t="inlineStr">
        <is>
          <t>per period</t>
        </is>
      </c>
      <c r="F45" s="10" t="n"/>
    </row>
    <row r="46" ht="24" customHeight="1">
      <c r="B46" s="5" t="inlineStr">
        <is>
          <t>Administrative Overhead</t>
        </is>
      </c>
      <c r="C46" s="6" t="n"/>
      <c r="D46" s="13" t="n"/>
      <c r="E46" s="12" t="inlineStr">
        <is>
          <t>per period</t>
        </is>
      </c>
      <c r="F46" s="6" t="n"/>
    </row>
    <row r="47" ht="24" customHeight="1">
      <c r="B47" s="9" t="inlineStr">
        <is>
          <t>Marketing Allocation</t>
        </is>
      </c>
      <c r="C47" s="10" t="n"/>
      <c r="D47" s="13" t="n"/>
      <c r="E47" s="14" t="inlineStr">
        <is>
          <t>per period</t>
        </is>
      </c>
      <c r="F47" s="10" t="n"/>
    </row>
    <row r="48" ht="24" customHeight="1">
      <c r="B48" s="5" t="inlineStr">
        <is>
          <t>Other Fixed Costs</t>
        </is>
      </c>
      <c r="C48" s="6" t="n"/>
      <c r="D48" s="13" t="n"/>
      <c r="E48" s="12" t="inlineStr">
        <is>
          <t>per period</t>
        </is>
      </c>
      <c r="F48" s="6" t="n"/>
    </row>
    <row r="49" ht="30" customHeight="1">
      <c r="B49" s="15" t="inlineStr">
        <is>
          <t>Total Extra Fixed Costs</t>
        </is>
      </c>
      <c r="C49" s="16" t="n"/>
      <c r="D49" s="17">
        <f>SUM(D42:D48)</f>
        <v/>
      </c>
      <c r="E49" s="16" t="n"/>
      <c r="F49" s="16" t="n"/>
    </row>
    <row r="51" ht="28" customHeight="1">
      <c r="B51" s="3" t="inlineStr">
        <is>
          <t>COST SUMMARY</t>
        </is>
      </c>
      <c r="C51" s="4" t="n"/>
      <c r="D51" s="4" t="n"/>
      <c r="E51" s="4" t="n"/>
      <c r="F51" s="4" t="n"/>
    </row>
    <row r="52" ht="24" customHeight="1">
      <c r="B52" s="5" t="inlineStr">
        <is>
          <t>Total Material Cost</t>
        </is>
      </c>
      <c r="C52" s="6" t="n"/>
      <c r="D52" s="18">
        <f>D18</f>
        <v/>
      </c>
      <c r="E52" s="8" t="n"/>
      <c r="F52" s="8" t="n"/>
    </row>
    <row r="53" ht="24" customHeight="1">
      <c r="B53" s="9" t="inlineStr">
        <is>
          <t>Total Labour Cost</t>
        </is>
      </c>
      <c r="C53" s="10" t="n"/>
      <c r="D53" s="18">
        <f>D26</f>
        <v/>
      </c>
    </row>
    <row r="54" ht="24" customHeight="1">
      <c r="B54" s="5" t="inlineStr">
        <is>
          <t>Total Overhead Cost</t>
        </is>
      </c>
      <c r="C54" s="6" t="n"/>
      <c r="D54" s="18">
        <f>D39</f>
        <v/>
      </c>
      <c r="E54" s="8" t="n"/>
      <c r="F54" s="8" t="n"/>
    </row>
    <row r="55" ht="24" customHeight="1">
      <c r="B55" s="9" t="inlineStr">
        <is>
          <t>Total Extra Fixed Costs</t>
        </is>
      </c>
      <c r="C55" s="10" t="n"/>
      <c r="D55" s="18">
        <f>D49</f>
        <v/>
      </c>
    </row>
    <row r="56" ht="30" customHeight="1">
      <c r="B56" s="19" t="inlineStr">
        <is>
          <t>TOTAL PRODUCT COST</t>
        </is>
      </c>
      <c r="C56" s="20" t="n"/>
      <c r="D56" s="21">
        <f>D52+D53+D54+D55</f>
        <v/>
      </c>
      <c r="E56" s="20" t="n"/>
      <c r="F56" s="20" t="n"/>
    </row>
    <row r="57" ht="30" customHeight="1">
      <c r="B57" s="19" t="inlineStr">
        <is>
          <t>COST PER UNIT</t>
        </is>
      </c>
      <c r="C57" s="20" t="n"/>
      <c r="D57" s="21">
        <f>IF(D8=0,"",D56/D8)</f>
        <v/>
      </c>
      <c r="E57" s="20" t="n"/>
      <c r="F57" s="20" t="n"/>
    </row>
    <row r="59" ht="28" customHeight="1">
      <c r="B59" s="3" t="inlineStr">
        <is>
          <t>PRICING (Optional)</t>
        </is>
      </c>
      <c r="C59" s="4" t="n"/>
      <c r="D59" s="4" t="n"/>
      <c r="E59" s="4" t="n"/>
      <c r="F59" s="4" t="n"/>
    </row>
    <row r="60" ht="24" customHeight="1">
      <c r="B60" s="5" t="inlineStr">
        <is>
          <t>Desired Profit Margin</t>
        </is>
      </c>
      <c r="C60" s="6" t="n"/>
      <c r="D60" s="22" t="n"/>
      <c r="E60" s="12" t="inlineStr">
        <is>
          <t>e.g. 30% = 0.30</t>
        </is>
      </c>
      <c r="F60" s="6" t="n"/>
    </row>
    <row r="61" ht="30" customHeight="1">
      <c r="B61" s="23" t="inlineStr">
        <is>
          <t>SUGGESTED SELLING PRICE</t>
        </is>
      </c>
      <c r="C61" s="24" t="n"/>
      <c r="D61" s="25">
        <f>IF(OR(D60="",D60&gt;=1,D57=""),"",D57/(1-D60))</f>
        <v/>
      </c>
      <c r="E61" s="24" t="n"/>
      <c r="F61" s="24" t="n"/>
    </row>
    <row r="62" ht="30" customHeight="1">
      <c r="B62" s="23" t="inlineStr">
        <is>
          <t>PROFIT PER UNIT</t>
        </is>
      </c>
      <c r="C62" s="24" t="n"/>
      <c r="D62" s="25">
        <f>IF(OR(D61="",D57=""),"",D61-D57)</f>
        <v/>
      </c>
      <c r="E62" s="24" t="n"/>
      <c r="F62" s="24" t="n"/>
    </row>
  </sheetData>
  <mergeCells count="93">
    <mergeCell ref="E62:F62"/>
    <mergeCell ref="B3:F3"/>
    <mergeCell ref="B22:C22"/>
    <mergeCell ref="E23:F23"/>
    <mergeCell ref="B31:C31"/>
    <mergeCell ref="E8:F8"/>
    <mergeCell ref="B12:C12"/>
    <mergeCell ref="B21:C21"/>
    <mergeCell ref="B2:F2"/>
    <mergeCell ref="B61:C61"/>
    <mergeCell ref="B14:C14"/>
    <mergeCell ref="B13:C13"/>
    <mergeCell ref="E34:F34"/>
    <mergeCell ref="B38:C38"/>
    <mergeCell ref="B28:F28"/>
    <mergeCell ref="E49:F49"/>
    <mergeCell ref="E36:F36"/>
    <mergeCell ref="B49:C49"/>
    <mergeCell ref="B55:C55"/>
    <mergeCell ref="B24:C24"/>
    <mergeCell ref="B33:C33"/>
    <mergeCell ref="B20:F20"/>
    <mergeCell ref="E22:F22"/>
    <mergeCell ref="B32:C32"/>
    <mergeCell ref="B26:C26"/>
    <mergeCell ref="B35:C35"/>
    <mergeCell ref="E12:F12"/>
    <mergeCell ref="B16:C16"/>
    <mergeCell ref="B25:C25"/>
    <mergeCell ref="E14:F14"/>
    <mergeCell ref="B18:C18"/>
    <mergeCell ref="E48:F48"/>
    <mergeCell ref="E38:F38"/>
    <mergeCell ref="B11:C11"/>
    <mergeCell ref="B53:C53"/>
    <mergeCell ref="B29:C29"/>
    <mergeCell ref="B10:F10"/>
    <mergeCell ref="B37:C37"/>
    <mergeCell ref="E26:F26"/>
    <mergeCell ref="B6:C6"/>
    <mergeCell ref="B15:C15"/>
    <mergeCell ref="E16:F16"/>
    <mergeCell ref="E25:F25"/>
    <mergeCell ref="B5:F5"/>
    <mergeCell ref="E18:F18"/>
    <mergeCell ref="B54:C54"/>
    <mergeCell ref="B7:C7"/>
    <mergeCell ref="B59:F59"/>
    <mergeCell ref="B56:C56"/>
    <mergeCell ref="E39:F39"/>
    <mergeCell ref="B43:C43"/>
    <mergeCell ref="E44:F44"/>
    <mergeCell ref="B52:C52"/>
    <mergeCell ref="E29:F29"/>
    <mergeCell ref="B42:C42"/>
    <mergeCell ref="B60:C60"/>
    <mergeCell ref="E13:F13"/>
    <mergeCell ref="B17:C17"/>
    <mergeCell ref="B57:C57"/>
    <mergeCell ref="E31:F31"/>
    <mergeCell ref="B44:C44"/>
    <mergeCell ref="E15:F15"/>
    <mergeCell ref="E46:F46"/>
    <mergeCell ref="B34:C34"/>
    <mergeCell ref="E61:F61"/>
    <mergeCell ref="E57:F57"/>
    <mergeCell ref="B30:C30"/>
    <mergeCell ref="E32:F32"/>
    <mergeCell ref="B45:C45"/>
    <mergeCell ref="E56:F56"/>
    <mergeCell ref="E43:F43"/>
    <mergeCell ref="B47:C47"/>
    <mergeCell ref="B62:C62"/>
    <mergeCell ref="E24:F24"/>
    <mergeCell ref="E33:F33"/>
    <mergeCell ref="B46:C46"/>
    <mergeCell ref="E42:F42"/>
    <mergeCell ref="E17:F17"/>
    <mergeCell ref="B39:C39"/>
    <mergeCell ref="E35:F35"/>
    <mergeCell ref="B48:C48"/>
    <mergeCell ref="B23:C23"/>
    <mergeCell ref="E60:F60"/>
    <mergeCell ref="B8:C8"/>
    <mergeCell ref="E30:F30"/>
    <mergeCell ref="E11:F11"/>
    <mergeCell ref="E45:F45"/>
    <mergeCell ref="B51:F51"/>
    <mergeCell ref="B36:C36"/>
    <mergeCell ref="E37:F37"/>
    <mergeCell ref="B41:F41"/>
    <mergeCell ref="E47:F47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B2:F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 ht="36" customHeight="1">
      <c r="B2" s="26" t="inlineStr">
        <is>
          <t>Monthly Overhead Breakdown</t>
        </is>
      </c>
    </row>
    <row r="4" ht="28" customHeight="1">
      <c r="B4" s="27" t="inlineStr">
        <is>
          <t>Overhead Item</t>
        </is>
      </c>
      <c r="C4" s="27" t="inlineStr">
        <is>
          <t>Monthly Cost</t>
        </is>
      </c>
      <c r="D4" s="27" t="inlineStr">
        <is>
          <t>Quarterly Cost</t>
        </is>
      </c>
      <c r="E4" s="27" t="inlineStr">
        <is>
          <t>Annual Cost</t>
        </is>
      </c>
      <c r="F4" s="27" t="inlineStr">
        <is>
          <t>Notes</t>
        </is>
      </c>
    </row>
    <row r="5" ht="22" customHeight="1">
      <c r="B5" s="28" t="inlineStr">
        <is>
          <t>Electricity</t>
        </is>
      </c>
      <c r="C5" s="13" t="n"/>
      <c r="D5" s="29">
        <f>C5*3</f>
        <v/>
      </c>
      <c r="E5" s="29">
        <f>C5*12</f>
        <v/>
      </c>
      <c r="F5" s="30" t="n"/>
    </row>
    <row r="6" ht="22" customHeight="1">
      <c r="B6" s="31" t="inlineStr">
        <is>
          <t>Natural Gas</t>
        </is>
      </c>
      <c r="C6" s="13" t="n"/>
      <c r="D6" s="29">
        <f>C6*3</f>
        <v/>
      </c>
      <c r="E6" s="29">
        <f>C6*12</f>
        <v/>
      </c>
      <c r="F6" s="30" t="n"/>
    </row>
    <row r="7" ht="22" customHeight="1">
      <c r="B7" s="28" t="inlineStr">
        <is>
          <t>Heating (Oil/Other)</t>
        </is>
      </c>
      <c r="C7" s="13" t="n"/>
      <c r="D7" s="29">
        <f>C7*3</f>
        <v/>
      </c>
      <c r="E7" s="29">
        <f>C7*12</f>
        <v/>
      </c>
      <c r="F7" s="30" t="n"/>
    </row>
    <row r="8" ht="22" customHeight="1">
      <c r="B8" s="31" t="inlineStr">
        <is>
          <t>Water &amp; Sewage</t>
        </is>
      </c>
      <c r="C8" s="13" t="n"/>
      <c r="D8" s="29">
        <f>C8*3</f>
        <v/>
      </c>
      <c r="E8" s="29">
        <f>C8*12</f>
        <v/>
      </c>
      <c r="F8" s="30" t="n"/>
    </row>
    <row r="9" ht="22" customHeight="1">
      <c r="B9" s="28" t="inlineStr">
        <is>
          <t>Internet / Telecom</t>
        </is>
      </c>
      <c r="C9" s="13" t="n"/>
      <c r="D9" s="29">
        <f>C9*3</f>
        <v/>
      </c>
      <c r="E9" s="29">
        <f>C9*12</f>
        <v/>
      </c>
      <c r="F9" s="30" t="n"/>
    </row>
    <row r="10" ht="22" customHeight="1">
      <c r="B10" s="31" t="inlineStr">
        <is>
          <t>Waste Disposal</t>
        </is>
      </c>
      <c r="C10" s="13" t="n"/>
      <c r="D10" s="29">
        <f>C10*3</f>
        <v/>
      </c>
      <c r="E10" s="29">
        <f>C10*12</f>
        <v/>
      </c>
      <c r="F10" s="30" t="n"/>
    </row>
    <row r="11" ht="22" customHeight="1">
      <c r="B11" s="28" t="inlineStr">
        <is>
          <t>Facility Rent / Lease</t>
        </is>
      </c>
      <c r="C11" s="13" t="n"/>
      <c r="D11" s="29">
        <f>C11*3</f>
        <v/>
      </c>
      <c r="E11" s="29">
        <f>C11*12</f>
        <v/>
      </c>
      <c r="F11" s="30" t="n"/>
    </row>
    <row r="12" ht="22" customHeight="1">
      <c r="B12" s="31" t="inlineStr">
        <is>
          <t>Property Tax</t>
        </is>
      </c>
      <c r="C12" s="13" t="n"/>
      <c r="D12" s="29">
        <f>C12*3</f>
        <v/>
      </c>
      <c r="E12" s="29">
        <f>C12*12</f>
        <v/>
      </c>
      <c r="F12" s="30" t="n"/>
    </row>
    <row r="13" ht="22" customHeight="1">
      <c r="B13" s="28" t="inlineStr">
        <is>
          <t>Building Insurance</t>
        </is>
      </c>
      <c r="C13" s="13" t="n"/>
      <c r="D13" s="29">
        <f>C13*3</f>
        <v/>
      </c>
      <c r="E13" s="29">
        <f>C13*12</f>
        <v/>
      </c>
      <c r="F13" s="30" t="n"/>
    </row>
    <row r="14" ht="22" customHeight="1">
      <c r="B14" s="31" t="inlineStr">
        <is>
          <t>Equipment Insurance</t>
        </is>
      </c>
      <c r="C14" s="13" t="n"/>
      <c r="D14" s="29">
        <f>C14*3</f>
        <v/>
      </c>
      <c r="E14" s="29">
        <f>C14*12</f>
        <v/>
      </c>
      <c r="F14" s="30" t="n"/>
    </row>
    <row r="15" ht="22" customHeight="1">
      <c r="B15" s="28" t="inlineStr">
        <is>
          <t>Equipment Depreciation</t>
        </is>
      </c>
      <c r="C15" s="13" t="n"/>
      <c r="D15" s="29">
        <f>C15*3</f>
        <v/>
      </c>
      <c r="E15" s="29">
        <f>C15*12</f>
        <v/>
      </c>
      <c r="F15" s="30" t="n"/>
    </row>
    <row r="16" ht="22" customHeight="1">
      <c r="B16" s="31" t="inlineStr">
        <is>
          <t>Vehicle Costs</t>
        </is>
      </c>
      <c r="C16" s="13" t="n"/>
      <c r="D16" s="29">
        <f>C16*3</f>
        <v/>
      </c>
      <c r="E16" s="29">
        <f>C16*12</f>
        <v/>
      </c>
      <c r="F16" s="30" t="n"/>
    </row>
    <row r="17" ht="22" customHeight="1">
      <c r="B17" s="28" t="inlineStr">
        <is>
          <t>Cleaning / Janitorial</t>
        </is>
      </c>
      <c r="C17" s="13" t="n"/>
      <c r="D17" s="29">
        <f>C17*3</f>
        <v/>
      </c>
      <c r="E17" s="29">
        <f>C17*12</f>
        <v/>
      </c>
      <c r="F17" s="30" t="n"/>
    </row>
    <row r="18" ht="22" customHeight="1">
      <c r="B18" s="31" t="inlineStr">
        <is>
          <t>Security</t>
        </is>
      </c>
      <c r="C18" s="13" t="n"/>
      <c r="D18" s="29">
        <f>C18*3</f>
        <v/>
      </c>
      <c r="E18" s="29">
        <f>C18*12</f>
        <v/>
      </c>
      <c r="F18" s="30" t="n"/>
    </row>
    <row r="19" ht="22" customHeight="1">
      <c r="B19" s="28" t="inlineStr">
        <is>
          <t>Maintenance &amp; Repairs</t>
        </is>
      </c>
      <c r="C19" s="13" t="n"/>
      <c r="D19" s="29">
        <f>C19*3</f>
        <v/>
      </c>
      <c r="E19" s="29">
        <f>C19*12</f>
        <v/>
      </c>
      <c r="F19" s="30" t="n"/>
    </row>
    <row r="20" ht="22" customHeight="1">
      <c r="B20" s="31" t="inlineStr">
        <is>
          <t>Office Supplies</t>
        </is>
      </c>
      <c r="C20" s="13" t="n"/>
      <c r="D20" s="29">
        <f>C20*3</f>
        <v/>
      </c>
      <c r="E20" s="29">
        <f>C20*12</f>
        <v/>
      </c>
      <c r="F20" s="30" t="n"/>
    </row>
    <row r="21" ht="22" customHeight="1">
      <c r="B21" s="28" t="inlineStr">
        <is>
          <t>Software / Subscriptions</t>
        </is>
      </c>
      <c r="C21" s="13" t="n"/>
      <c r="D21" s="29">
        <f>C21*3</f>
        <v/>
      </c>
      <c r="E21" s="29">
        <f>C21*12</f>
        <v/>
      </c>
      <c r="F21" s="30" t="n"/>
    </row>
    <row r="22" ht="22" customHeight="1">
      <c r="B22" s="31" t="inlineStr">
        <is>
          <t>Other</t>
        </is>
      </c>
      <c r="C22" s="13" t="n"/>
      <c r="D22" s="29">
        <f>C22*3</f>
        <v/>
      </c>
      <c r="E22" s="29">
        <f>C22*12</f>
        <v/>
      </c>
      <c r="F22" s="30" t="n"/>
    </row>
    <row r="23" ht="28" customHeight="1">
      <c r="B23" s="32" t="inlineStr">
        <is>
          <t>TOTAL</t>
        </is>
      </c>
      <c r="C23" s="21">
        <f>SUM(C5:C22)</f>
        <v/>
      </c>
      <c r="D23" s="21">
        <f>SUM(D5:D22)</f>
        <v/>
      </c>
      <c r="E23" s="21">
        <f>SUM(E5:E22)</f>
        <v/>
      </c>
      <c r="F23" s="33" t="n"/>
    </row>
  </sheetData>
  <mergeCells count="1">
    <mergeCell ref="B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B2:B22"/>
  <sheetViews>
    <sheetView showGridLines="0" workbookViewId="0">
      <selection activeCell="A1" sqref="A1"/>
    </sheetView>
  </sheetViews>
  <sheetFormatPr baseColWidth="8" defaultRowHeight="15"/>
  <cols>
    <col width="90" customWidth="1" min="2" max="2"/>
  </cols>
  <sheetData>
    <row r="2">
      <c r="B2" s="34" t="inlineStr">
        <is>
          <t>How to Use This Template</t>
        </is>
      </c>
    </row>
    <row r="3">
      <c r="B3" s="35" t="inlineStr"/>
    </row>
    <row r="4">
      <c r="B4" s="35" t="inlineStr">
        <is>
          <t>1. Start on the 'Product Cost Calculator' sheet.</t>
        </is>
      </c>
    </row>
    <row r="5">
      <c r="B5" s="35" t="inlineStr">
        <is>
          <t>2. Fill in your Product Name, SKU, and Units Produced per batch/period.</t>
        </is>
      </c>
    </row>
    <row r="6">
      <c r="B6" s="35" t="inlineStr">
        <is>
          <t>3. Enter each cost in the blue highlighted input cells.</t>
        </is>
      </c>
    </row>
    <row r="7">
      <c r="B7" s="35" t="inlineStr">
        <is>
          <t>4. The template automatically calculates subtotals for each category.</t>
        </is>
      </c>
    </row>
    <row r="8">
      <c r="B8" s="35" t="inlineStr">
        <is>
          <t>5. The Cost Summary section shows a full breakdown and the total product cost.</t>
        </is>
      </c>
    </row>
    <row r="9">
      <c r="B9" s="35" t="inlineStr">
        <is>
          <t>6. 'Cost Per Unit' divides total cost by units produced.</t>
        </is>
      </c>
    </row>
    <row r="10">
      <c r="B10" s="35" t="inlineStr">
        <is>
          <t>7. Optionally set a desired profit margin to get a suggested selling price.</t>
        </is>
      </c>
    </row>
    <row r="11">
      <c r="B11" s="35" t="inlineStr"/>
    </row>
    <row r="12">
      <c r="B12" s="36" t="inlineStr">
        <is>
          <t>Sections:</t>
        </is>
      </c>
    </row>
    <row r="13">
      <c r="B13" s="35" t="inlineStr">
        <is>
          <t xml:space="preserve">  - Material Costs: raw materials, packaging, inbound shipping.</t>
        </is>
      </c>
    </row>
    <row r="14">
      <c r="B14" s="35" t="inlineStr">
        <is>
          <t xml:space="preserve">  - Labour Costs: direct/indirect labour, QC, overtime, benefits.</t>
        </is>
      </c>
    </row>
    <row r="15">
      <c r="B15" s="35" t="inlineStr">
        <is>
          <t xml:space="preserve">  - Overhead Costs: electricity, gas, heating, water, rent, depreciation, etc.</t>
        </is>
      </c>
    </row>
    <row r="16">
      <c r="B16" s="35" t="inlineStr">
        <is>
          <t xml:space="preserve">  - Extra Fixed Costs: licensing, tooling, R&amp;D, compliance, admin, marketing.</t>
        </is>
      </c>
    </row>
    <row r="17">
      <c r="B17" s="35" t="inlineStr"/>
    </row>
    <row r="18">
      <c r="B18" s="36" t="inlineStr">
        <is>
          <t>Tips:</t>
        </is>
      </c>
    </row>
    <row r="19">
      <c r="B19" s="35" t="inlineStr">
        <is>
          <t xml:space="preserve">  - Use the 'Overhead Breakdown' sheet for a detailed monthly utility tracker.</t>
        </is>
      </c>
    </row>
    <row r="20">
      <c r="B20" s="35" t="inlineStr">
        <is>
          <t xml:space="preserve">  - All formulas update automatically -- just fill in the blue cells.</t>
        </is>
      </c>
    </row>
    <row r="21">
      <c r="B21" s="35" t="inlineStr">
        <is>
          <t xml:space="preserve">  - Add or remove rows as needed (update SUM ranges if you do).</t>
        </is>
      </c>
    </row>
    <row r="22">
      <c r="B22" s="35" t="inlineStr">
        <is>
          <t xml:space="preserve">  - Keep all costs in the same currency for consistency.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2026-02-06T10:47:08Z</dcterms:created>
  <dcterms:modified xsi:type="dcterms:W3CDTF">2026-02-06T10:47:08Z</dcterms:modified>
</cp:coreProperties>
</file>